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Predictive Model Metr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<sst xmlns="http://schemas.openxmlformats.org/spreadsheetml/2006/main" count="78" uniqueCount="48">
  <si>
    <t xml:space="preserve">Week 6 — Virtual Construction BI Performance Scorecard</t>
  </si>
  <si>
    <t xml:space="preserve">Blue cells are editable inputs (Weight, Score). Weighted Contribution, pillar subtotals, and the Overall Composite Score are formulas and will recalculate automatically.</t>
  </si>
  <si>
    <t xml:space="preserve">Category</t>
  </si>
  <si>
    <t xml:space="preserve">Metric</t>
  </si>
  <si>
    <t xml:space="preserve">Weight (0–1)</t>
  </si>
  <si>
    <t xml:space="preserve">Score (0–100)</t>
  </si>
  <si>
    <t xml:space="preserve">Weighted Contribution</t>
  </si>
  <si>
    <t xml:space="preserve">Dashboard Effectiveness</t>
  </si>
  <si>
    <t xml:space="preserve">Usability &amp; Navigation Score</t>
  </si>
  <si>
    <t xml:space="preserve">Report Load / Refresh Performance</t>
  </si>
  <si>
    <t xml:space="preserve">Adoption &amp; Engagement</t>
  </si>
  <si>
    <t xml:space="preserve">Mobile / Cross-Device Usability</t>
  </si>
  <si>
    <t xml:space="preserve">Data Model Robustness</t>
  </si>
  <si>
    <t xml:space="preserve">Schema Design Adherence</t>
  </si>
  <si>
    <t xml:space="preserve">Data Quality Score</t>
  </si>
  <si>
    <t xml:space="preserve">Query Performance</t>
  </si>
  <si>
    <t xml:space="preserve">Refresh Reliability</t>
  </si>
  <si>
    <t xml:space="preserve">Scalability Headroom</t>
  </si>
  <si>
    <t xml:space="preserve">Predictive Analytics Impact</t>
  </si>
  <si>
    <t xml:space="preserve">Classification Model Quality</t>
  </si>
  <si>
    <t xml:space="preserve">Forecast Reliability</t>
  </si>
  <si>
    <t xml:space="preserve">Early-Warning Business Impact</t>
  </si>
  <si>
    <t xml:space="preserve">Alert Precision (Signal-to-Noise)</t>
  </si>
  <si>
    <t xml:space="preserve">Total Weight Check (should equal 100%)</t>
  </si>
  <si>
    <t xml:space="preserve">Overall Composite Score (0–100)</t>
  </si>
  <si>
    <t xml:space="preserve">Pillar Subtotals</t>
  </si>
  <si>
    <t xml:space="preserve">Pillar</t>
  </si>
  <si>
    <t xml:space="preserve">Weight</t>
  </si>
  <si>
    <t xml:space="preserve">Pillar Score (0–100)</t>
  </si>
  <si>
    <t xml:space="preserve">Overall Composite Score</t>
  </si>
  <si>
    <t xml:space="preserve">Scoring Band</t>
  </si>
  <si>
    <t xml:space="preserve">Predictive Model Metrics — Source Detail (from Week 5 model validation)</t>
  </si>
  <si>
    <t xml:space="preserve">Values below are the validation-set results produced by predictive_models.py against historical_construction_data.csv.</t>
  </si>
  <si>
    <t xml:space="preserve">Model</t>
  </si>
  <si>
    <t xml:space="preserve">Actual Value</t>
  </si>
  <si>
    <t xml:space="preserve">Target</t>
  </si>
  <si>
    <t xml:space="preserve">Status</t>
  </si>
  <si>
    <t xml:space="preserve">Overrun Flag — Logistic Regression</t>
  </si>
  <si>
    <t xml:space="preserve">Accuracy</t>
  </si>
  <si>
    <t xml:space="preserve">Precision</t>
  </si>
  <si>
    <t xml:space="preserve">Recall</t>
  </si>
  <si>
    <t xml:space="preserve">F1 Score</t>
  </si>
  <si>
    <t xml:space="preserve">AUC-ROC</t>
  </si>
  <si>
    <t xml:space="preserve">Overrun % — Gradient Boosting Regressor</t>
  </si>
  <si>
    <t xml:space="preserve">MAE (percentage points)</t>
  </si>
  <si>
    <t xml:space="preserve">R²</t>
  </si>
  <si>
    <t xml:space="preserve">Overrun % — Linear Regression</t>
  </si>
  <si>
    <t xml:space="preserve">Schedule Delay Flag — Random Forest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</si>
</sst>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"/>
    <numFmt numFmtId="167" formatCode="0.00"/>
    <numFmt numFmtId="168" formatCode="0.0"/>
    <numFmt numFmtId="169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2E7D3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0.08</v>
      </c>
      <c r="D5" s="6" t="n">
        <v>82</v>
      </c>
      <c r="E5" s="7" t="n">
        <f aca="false">C5*D5</f>
        <v>6.56</v>
      </c>
    </row>
    <row r="6" customFormat="false" ht="15" hidden="false" customHeight="false" outlineLevel="0" collapsed="false">
      <c r="A6" s="4" t="s">
        <v>7</v>
      </c>
      <c r="B6" s="4" t="s">
        <v>9</v>
      </c>
      <c r="C6" s="5" t="n">
        <v>0.07</v>
      </c>
      <c r="D6" s="6" t="n">
        <v>78</v>
      </c>
      <c r="E6" s="7" t="n">
        <f aca="false">C6*D6</f>
        <v>5.46</v>
      </c>
    </row>
    <row r="7" customFormat="false" ht="15" hidden="false" customHeight="false" outlineLevel="0" collapsed="false">
      <c r="A7" s="4" t="s">
        <v>7</v>
      </c>
      <c r="B7" s="4" t="s">
        <v>10</v>
      </c>
      <c r="C7" s="5" t="n">
        <v>0.08</v>
      </c>
      <c r="D7" s="6" t="n">
        <v>70</v>
      </c>
      <c r="E7" s="7" t="n">
        <f aca="false">C7*D7</f>
        <v>5.6</v>
      </c>
    </row>
    <row r="8" customFormat="false" ht="15" hidden="false" customHeight="false" outlineLevel="0" collapsed="false">
      <c r="A8" s="4" t="s">
        <v>7</v>
      </c>
      <c r="B8" s="4" t="s">
        <v>11</v>
      </c>
      <c r="C8" s="5" t="n">
        <v>0.07</v>
      </c>
      <c r="D8" s="6" t="n">
        <v>75</v>
      </c>
      <c r="E8" s="7" t="n">
        <f aca="false">C8*D8</f>
        <v>5.25</v>
      </c>
    </row>
    <row r="9" customFormat="false" ht="15" hidden="false" customHeight="false" outlineLevel="0" collapsed="false">
      <c r="A9" s="4" t="s">
        <v>12</v>
      </c>
      <c r="B9" s="4" t="s">
        <v>13</v>
      </c>
      <c r="C9" s="5" t="n">
        <v>0.07</v>
      </c>
      <c r="D9" s="6" t="n">
        <v>88</v>
      </c>
      <c r="E9" s="7" t="n">
        <f aca="false">C9*D9</f>
        <v>6.16</v>
      </c>
    </row>
    <row r="10" customFormat="false" ht="15" hidden="false" customHeight="false" outlineLevel="0" collapsed="false">
      <c r="A10" s="4" t="s">
        <v>12</v>
      </c>
      <c r="B10" s="4" t="s">
        <v>14</v>
      </c>
      <c r="C10" s="5" t="n">
        <v>0.07</v>
      </c>
      <c r="D10" s="6" t="n">
        <v>81</v>
      </c>
      <c r="E10" s="7" t="n">
        <f aca="false">C10*D10</f>
        <v>5.67</v>
      </c>
    </row>
    <row r="11" customFormat="false" ht="15" hidden="false" customHeight="false" outlineLevel="0" collapsed="false">
      <c r="A11" s="4" t="s">
        <v>12</v>
      </c>
      <c r="B11" s="4" t="s">
        <v>15</v>
      </c>
      <c r="C11" s="5" t="n">
        <v>0.07</v>
      </c>
      <c r="D11" s="6" t="n">
        <v>76</v>
      </c>
      <c r="E11" s="7" t="n">
        <f aca="false">C11*D11</f>
        <v>5.32</v>
      </c>
    </row>
    <row r="12" customFormat="false" ht="15" hidden="false" customHeight="false" outlineLevel="0" collapsed="false">
      <c r="A12" s="4" t="s">
        <v>12</v>
      </c>
      <c r="B12" s="4" t="s">
        <v>16</v>
      </c>
      <c r="C12" s="5" t="n">
        <v>0.07</v>
      </c>
      <c r="D12" s="6" t="n">
        <v>92</v>
      </c>
      <c r="E12" s="7" t="n">
        <f aca="false">C12*D12</f>
        <v>6.44</v>
      </c>
    </row>
    <row r="13" customFormat="false" ht="15" hidden="false" customHeight="false" outlineLevel="0" collapsed="false">
      <c r="A13" s="4" t="s">
        <v>12</v>
      </c>
      <c r="B13" s="4" t="s">
        <v>17</v>
      </c>
      <c r="C13" s="5" t="n">
        <v>0.07</v>
      </c>
      <c r="D13" s="6" t="n">
        <v>85</v>
      </c>
      <c r="E13" s="7" t="n">
        <f aca="false">C13*D13</f>
        <v>5.95</v>
      </c>
    </row>
    <row r="14" customFormat="false" ht="15" hidden="false" customHeight="false" outlineLevel="0" collapsed="false">
      <c r="A14" s="4" t="s">
        <v>18</v>
      </c>
      <c r="B14" s="4" t="s">
        <v>19</v>
      </c>
      <c r="C14" s="5" t="n">
        <v>0.09</v>
      </c>
      <c r="D14" s="6" t="n">
        <v>66</v>
      </c>
      <c r="E14" s="7" t="n">
        <f aca="false">C14*D14</f>
        <v>5.94</v>
      </c>
    </row>
    <row r="15" customFormat="false" ht="15" hidden="false" customHeight="false" outlineLevel="0" collapsed="false">
      <c r="A15" s="4" t="s">
        <v>18</v>
      </c>
      <c r="B15" s="4" t="s">
        <v>20</v>
      </c>
      <c r="C15" s="5" t="n">
        <v>0.09</v>
      </c>
      <c r="D15" s="6" t="n">
        <v>77</v>
      </c>
      <c r="E15" s="7" t="n">
        <f aca="false">C15*D15</f>
        <v>6.93</v>
      </c>
    </row>
    <row r="16" customFormat="false" ht="15" hidden="false" customHeight="false" outlineLevel="0" collapsed="false">
      <c r="A16" s="4" t="s">
        <v>18</v>
      </c>
      <c r="B16" s="4" t="s">
        <v>21</v>
      </c>
      <c r="C16" s="5" t="n">
        <v>0.09</v>
      </c>
      <c r="D16" s="6" t="n">
        <v>79</v>
      </c>
      <c r="E16" s="7" t="n">
        <f aca="false">C16*D16</f>
        <v>7.11</v>
      </c>
    </row>
    <row r="17" customFormat="false" ht="15" hidden="false" customHeight="false" outlineLevel="0" collapsed="false">
      <c r="A17" s="4" t="s">
        <v>18</v>
      </c>
      <c r="B17" s="4" t="s">
        <v>22</v>
      </c>
      <c r="C17" s="5" t="n">
        <v>0.08</v>
      </c>
      <c r="D17" s="6" t="n">
        <v>74</v>
      </c>
      <c r="E17" s="7" t="n">
        <f aca="false">C17*D17</f>
        <v>5.92</v>
      </c>
    </row>
    <row r="19" customFormat="false" ht="15" hidden="false" customHeight="true" outlineLevel="0" collapsed="false">
      <c r="A19" s="8" t="s">
        <v>23</v>
      </c>
      <c r="B19" s="8"/>
      <c r="C19" s="8"/>
      <c r="D19" s="9" t="n">
        <f aca="false">SUM(C5:C17)</f>
        <v>1</v>
      </c>
    </row>
    <row r="20" customFormat="false" ht="15" hidden="false" customHeight="true" outlineLevel="0" collapsed="false">
      <c r="A20" s="10" t="s">
        <v>24</v>
      </c>
      <c r="B20" s="10"/>
      <c r="C20" s="10"/>
      <c r="D20" s="10"/>
      <c r="E20" s="11" t="n">
        <f aca="false">SUM(E5:E17)</f>
        <v>78.31</v>
      </c>
    </row>
    <row r="22" customFormat="false" ht="15" hidden="false" customHeight="false" outlineLevel="0" collapsed="false">
      <c r="A22" s="12" t="s">
        <v>25</v>
      </c>
    </row>
    <row r="23" customFormat="false" ht="23.85" hidden="false" customHeight="false" outlineLevel="0" collapsed="false">
      <c r="A23" s="3" t="s">
        <v>26</v>
      </c>
      <c r="B23" s="3" t="s">
        <v>27</v>
      </c>
      <c r="C23" s="3" t="s">
        <v>28</v>
      </c>
      <c r="D23" s="3" t="s">
        <v>6</v>
      </c>
    </row>
    <row r="24" customFormat="false" ht="15" hidden="false" customHeight="false" outlineLevel="0" collapsed="false">
      <c r="A24" s="4" t="s">
        <v>7</v>
      </c>
      <c r="B24" s="13" t="n">
        <f aca="false">SUMIFS(C5:C17,A5:A17,A24)</f>
        <v>0.3</v>
      </c>
      <c r="C24" s="14" t="n">
        <f aca="false">SUMIFS(E5:E17,A5:A17,A24)/B24</f>
        <v>76.2333333333333</v>
      </c>
      <c r="D24" s="7" t="n">
        <f aca="false">SUMIFS(E5:E17,A5:A17,A24)</f>
        <v>22.87</v>
      </c>
    </row>
    <row r="25" customFormat="false" ht="15" hidden="false" customHeight="false" outlineLevel="0" collapsed="false">
      <c r="A25" s="4" t="s">
        <v>12</v>
      </c>
      <c r="B25" s="13" t="n">
        <f aca="false">SUMIFS(C5:C17,A5:A17,A25)</f>
        <v>0.35</v>
      </c>
      <c r="C25" s="14" t="n">
        <f aca="false">SUMIFS(E5:E17,A5:A17,A25)/B25</f>
        <v>84.4</v>
      </c>
      <c r="D25" s="7" t="n">
        <f aca="false">SUMIFS(E5:E17,A5:A17,A25)</f>
        <v>29.54</v>
      </c>
    </row>
    <row r="26" customFormat="false" ht="15" hidden="false" customHeight="false" outlineLevel="0" collapsed="false">
      <c r="A26" s="4" t="s">
        <v>18</v>
      </c>
      <c r="B26" s="13" t="n">
        <f aca="false">SUMIFS(C5:C17,A5:A17,A26)</f>
        <v>0.35</v>
      </c>
      <c r="C26" s="14" t="n">
        <f aca="false">SUMIFS(E5:E17,A5:A17,A26)/B26</f>
        <v>74</v>
      </c>
      <c r="D26" s="7" t="n">
        <f aca="false">SUMIFS(E5:E17,A5:A17,A26)</f>
        <v>25.9</v>
      </c>
    </row>
    <row r="27" customFormat="false" ht="15" hidden="false" customHeight="false" outlineLevel="0" collapsed="false">
      <c r="A27" s="15" t="s">
        <v>29</v>
      </c>
      <c r="B27" s="16" t="n">
        <f aca="false">SUM(B24:B26)</f>
        <v>1</v>
      </c>
      <c r="C27" s="17"/>
      <c r="D27" s="18" t="n">
        <f aca="false">SUM(D24:D26)</f>
        <v>78.31</v>
      </c>
    </row>
    <row r="30" customFormat="false" ht="15" hidden="false" customHeight="false" outlineLevel="0" collapsed="false">
      <c r="A30" s="19" t="s">
        <v>30</v>
      </c>
      <c r="B30" s="19"/>
      <c r="C30" s="20" t="str">
        <f aca="false">IF(D27&gt;=90,"Excellent",IF(D27&gt;=75,"Strong",IF(D27&gt;=60,"Adequate","Needs Redesign")))</f>
        <v>Strong</v>
      </c>
      <c r="D30" s="20"/>
    </row>
  </sheetData>
  <mergeCells count="6">
    <mergeCell ref="A1:E1"/>
    <mergeCell ref="A2:E2"/>
    <mergeCell ref="A19:C19"/>
    <mergeCell ref="A20:D20"/>
    <mergeCell ref="A30:B30"/>
    <mergeCell ref="C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31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32</v>
      </c>
      <c r="B2" s="2"/>
      <c r="C2" s="2"/>
      <c r="D2" s="2"/>
      <c r="E2" s="2"/>
    </row>
    <row r="4" customFormat="false" ht="15" hidden="false" customHeight="false" outlineLevel="0" collapsed="false">
      <c r="A4" s="3" t="s">
        <v>33</v>
      </c>
      <c r="B4" s="3" t="s">
        <v>3</v>
      </c>
      <c r="C4" s="3" t="s">
        <v>34</v>
      </c>
      <c r="D4" s="3" t="s">
        <v>35</v>
      </c>
      <c r="E4" s="3" t="s">
        <v>36</v>
      </c>
    </row>
    <row r="5" customFormat="false" ht="15" hidden="false" customHeight="false" outlineLevel="0" collapsed="false">
      <c r="A5" s="4" t="s">
        <v>37</v>
      </c>
      <c r="B5" s="4" t="s">
        <v>38</v>
      </c>
      <c r="C5" s="21" t="n">
        <v>0.61</v>
      </c>
      <c r="D5" s="22" t="n">
        <v>0.7</v>
      </c>
      <c r="E5" s="23" t="str">
        <f aca="false">IF(C5&gt;=D5,"Met","Below Target")</f>
        <v>Below Target</v>
      </c>
    </row>
    <row r="6" customFormat="false" ht="15" hidden="false" customHeight="false" outlineLevel="0" collapsed="false">
      <c r="A6" s="4" t="s">
        <v>37</v>
      </c>
      <c r="B6" s="4" t="s">
        <v>39</v>
      </c>
      <c r="C6" s="21" t="n">
        <v>0.497</v>
      </c>
      <c r="D6" s="22" t="n">
        <v>0.65</v>
      </c>
      <c r="E6" s="23" t="str">
        <f aca="false">IF(C6&gt;=D6,"Met","Below Target")</f>
        <v>Below Target</v>
      </c>
    </row>
    <row r="7" customFormat="false" ht="15" hidden="false" customHeight="false" outlineLevel="0" collapsed="false">
      <c r="A7" s="4" t="s">
        <v>37</v>
      </c>
      <c r="B7" s="4" t="s">
        <v>40</v>
      </c>
      <c r="C7" s="21" t="n">
        <v>0.714</v>
      </c>
      <c r="D7" s="22" t="n">
        <v>0.65</v>
      </c>
      <c r="E7" s="23" t="str">
        <f aca="false">IF(C7&gt;=D7,"Met","Below Target")</f>
        <v>Met</v>
      </c>
    </row>
    <row r="8" customFormat="false" ht="15" hidden="false" customHeight="false" outlineLevel="0" collapsed="false">
      <c r="A8" s="4" t="s">
        <v>37</v>
      </c>
      <c r="B8" s="4" t="s">
        <v>41</v>
      </c>
      <c r="C8" s="21" t="n">
        <v>0.586</v>
      </c>
      <c r="D8" s="22" t="n">
        <v>0.7</v>
      </c>
      <c r="E8" s="23" t="str">
        <f aca="false">IF(C8&gt;=D8,"Met","Below Target")</f>
        <v>Below Target</v>
      </c>
    </row>
    <row r="9" customFormat="false" ht="15" hidden="false" customHeight="false" outlineLevel="0" collapsed="false">
      <c r="A9" s="4" t="s">
        <v>37</v>
      </c>
      <c r="B9" s="4" t="s">
        <v>42</v>
      </c>
      <c r="C9" s="21" t="n">
        <v>0.573</v>
      </c>
      <c r="D9" s="22" t="n">
        <v>0.75</v>
      </c>
      <c r="E9" s="23" t="str">
        <f aca="false">IF(C9&gt;=D9,"Met","Below Target")</f>
        <v>Below Target</v>
      </c>
    </row>
    <row r="10" customFormat="false" ht="23.85" hidden="false" customHeight="false" outlineLevel="0" collapsed="false">
      <c r="A10" s="4" t="s">
        <v>43</v>
      </c>
      <c r="B10" s="4" t="s">
        <v>44</v>
      </c>
      <c r="C10" s="21" t="n">
        <v>0.28</v>
      </c>
      <c r="D10" s="22" t="n">
        <v>5</v>
      </c>
      <c r="E10" s="23" t="str">
        <f aca="false">IF(C10&lt;=D10,"Met","Below Target")</f>
        <v>Met</v>
      </c>
    </row>
    <row r="11" customFormat="false" ht="23.85" hidden="false" customHeight="false" outlineLevel="0" collapsed="false">
      <c r="A11" s="4" t="s">
        <v>43</v>
      </c>
      <c r="B11" s="4" t="s">
        <v>45</v>
      </c>
      <c r="C11" s="21" t="n">
        <v>0.999</v>
      </c>
      <c r="D11" s="22" t="n">
        <v>0.7</v>
      </c>
      <c r="E11" s="23" t="str">
        <f aca="false">IF(C11&gt;=D11,"Met","Below Target")</f>
        <v>Met</v>
      </c>
    </row>
    <row r="12" customFormat="false" ht="15" hidden="false" customHeight="false" outlineLevel="0" collapsed="false">
      <c r="A12" s="4" t="s">
        <v>46</v>
      </c>
      <c r="B12" s="4" t="s">
        <v>44</v>
      </c>
      <c r="C12" s="21" t="n">
        <v>6.19</v>
      </c>
      <c r="D12" s="22" t="n">
        <v>5</v>
      </c>
      <c r="E12" s="23" t="str">
        <f aca="false">IF(C12&lt;=D12,"Met","Below Target")</f>
        <v>Below Target</v>
      </c>
    </row>
    <row r="13" customFormat="false" ht="15" hidden="false" customHeight="false" outlineLevel="0" collapsed="false">
      <c r="A13" s="4" t="s">
        <v>46</v>
      </c>
      <c r="B13" s="4" t="s">
        <v>45</v>
      </c>
      <c r="C13" s="21" t="n">
        <v>0.762</v>
      </c>
      <c r="D13" s="22" t="n">
        <v>0.7</v>
      </c>
      <c r="E13" s="23" t="str">
        <f aca="false">IF(C13&gt;=D13,"Met","Below Target")</f>
        <v>Met</v>
      </c>
    </row>
    <row r="14" customFormat="false" ht="15" hidden="false" customHeight="false" outlineLevel="0" collapsed="false">
      <c r="A14" s="4" t="s">
        <v>47</v>
      </c>
      <c r="B14" s="4" t="s">
        <v>38</v>
      </c>
      <c r="C14" s="21" t="n">
        <v>0.824</v>
      </c>
      <c r="D14" s="22" t="n">
        <v>0.7</v>
      </c>
      <c r="E14" s="23" t="str">
        <f aca="false">IF(C14&gt;=D14,"Met","Below Target")</f>
        <v>Met</v>
      </c>
    </row>
    <row r="15" customFormat="false" ht="15" hidden="false" customHeight="false" outlineLevel="0" collapsed="false">
      <c r="A15" s="4" t="s">
        <v>47</v>
      </c>
      <c r="B15" s="4" t="s">
        <v>39</v>
      </c>
      <c r="C15" s="21" t="n">
        <v>1</v>
      </c>
      <c r="D15" s="22" t="n">
        <v>0.65</v>
      </c>
      <c r="E15" s="23" t="str">
        <f aca="false">IF(C15&gt;=D15,"Met","Below Target")</f>
        <v>Met</v>
      </c>
    </row>
    <row r="16" customFormat="false" ht="15" hidden="false" customHeight="false" outlineLevel="0" collapsed="false">
      <c r="A16" s="4" t="s">
        <v>47</v>
      </c>
      <c r="B16" s="4" t="s">
        <v>40</v>
      </c>
      <c r="C16" s="21" t="n">
        <v>0.463</v>
      </c>
      <c r="D16" s="22" t="n">
        <v>0.65</v>
      </c>
      <c r="E16" s="23" t="str">
        <f aca="false">IF(C16&gt;=D16,"Met","Below Target")</f>
        <v>Below Target</v>
      </c>
    </row>
    <row r="17" customFormat="false" ht="15" hidden="false" customHeight="false" outlineLevel="0" collapsed="false">
      <c r="A17" s="4" t="s">
        <v>47</v>
      </c>
      <c r="B17" s="4" t="s">
        <v>41</v>
      </c>
      <c r="C17" s="21" t="n">
        <v>0.633</v>
      </c>
      <c r="D17" s="22" t="n">
        <v>0.7</v>
      </c>
      <c r="E17" s="23" t="str">
        <f aca="false">IF(C17&gt;=D17,"Met","Below Target")</f>
        <v>Below Target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2026-09-26T15:48:52Z</dcterms:created>
  <dc:creator>openpyxl</dc:creator>
  <dc:description/>
  <dc:language>en-US</dc:language>
  <cp:lastModifiedBy/>
  <dcterms:modified xsi:type="dcterms:W3CDTF">2026-09-26T15:48:52Z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